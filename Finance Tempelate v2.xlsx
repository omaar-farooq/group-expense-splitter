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>
    <definedName hidden="1" localSheetId="0" name="_xlnm._FilterDatabase">Sheet2!$C$60:$C$89</definedName>
  </definedNames>
  <calcPr/>
</workbook>
</file>

<file path=xl/sharedStrings.xml><?xml version="1.0" encoding="utf-8"?>
<sst xmlns="http://schemas.openxmlformats.org/spreadsheetml/2006/main" count="23" uniqueCount="23">
  <si>
    <t>"Topic of Splitting" - "Date"</t>
  </si>
  <si>
    <t>Price</t>
  </si>
  <si>
    <t>TAX</t>
  </si>
  <si>
    <t>Person 1</t>
  </si>
  <si>
    <t>Person 2</t>
  </si>
  <si>
    <t>Person 3</t>
  </si>
  <si>
    <t>Person 4</t>
  </si>
  <si>
    <t>Person 5</t>
  </si>
  <si>
    <t>Person 6</t>
  </si>
  <si>
    <t>SUBTOTAL</t>
  </si>
  <si>
    <t>TAX (7.75%)</t>
  </si>
  <si>
    <t>TOTAL</t>
  </si>
  <si>
    <t>Who Paid</t>
  </si>
  <si>
    <t>Simaal</t>
  </si>
  <si>
    <t>Kirkland Signature Dried Mangoes</t>
  </si>
  <si>
    <t>Final Pay</t>
  </si>
  <si>
    <t>Pay Yasir:</t>
  </si>
  <si>
    <t>Whole Milk</t>
  </si>
  <si>
    <t>Pay Omar:</t>
  </si>
  <si>
    <t>Pay Simaal:</t>
  </si>
  <si>
    <t>Chocovia Dubai Style Chocolate</t>
  </si>
  <si>
    <t>Organic Seedless Green Grapes</t>
  </si>
  <si>
    <t>Sports Research Triple Strength Omega-3 Fish Oil Softgels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</si>
</sst>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rgb="FFFFFFFF"/>
      <name val="Arial"/>
    </font>
    <font>
      <color rgb="FF1B1C1D"/>
      <name val="&quot;Google Sans Text&quot;"/>
    </font>
    <font>
      <color rgb="FF1B1C1D"/>
      <name val="Google Sans Text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ACC3FF"/>
        <bgColor rgb="FFACC3FF"/>
      </patternFill>
    </fill>
    <fill>
      <patternFill patternType="solid">
        <fgColor rgb="FFA4DDFF"/>
        <bgColor rgb="FFA4DDFF"/>
      </patternFill>
    </fill>
    <fill>
      <patternFill patternType="solid">
        <fgColor rgb="FFD8D0C4"/>
        <bgColor rgb="FFD8D0C4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326BFF"/>
        <bgColor rgb="FF326BFF"/>
      </patternFill>
    </fill>
    <fill>
      <patternFill patternType="solid">
        <fgColor rgb="FF2CB0FF"/>
        <bgColor rgb="FF2CB0FF"/>
      </patternFill>
    </fill>
    <fill>
      <patternFill patternType="solid">
        <fgColor rgb="FFDB9937"/>
        <bgColor rgb="FFDB9937"/>
      </patternFill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top style="thick">
        <color rgb="FF000000"/>
      </top>
      <bottom style="dotted">
        <color rgb="FF000000"/>
      </bottom>
    </border>
    <border>
      <right style="thin">
        <color rgb="FF000000"/>
      </right>
      <top style="thick">
        <color rgb="FF000000"/>
      </top>
      <bottom style="dotted">
        <color rgb="FF000000"/>
      </bottom>
    </border>
    <border>
      <right style="medium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right style="medium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uble">
        <color rgb="FFE69138"/>
      </right>
      <top style="double">
        <color rgb="FFE6913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ck">
        <color rgb="FF000000"/>
      </left>
      <right style="double">
        <color rgb="FFE69138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double">
        <color rgb="FFE69138"/>
      </right>
      <bottom style="double">
        <color rgb="FFE69138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1" fillId="6" fontId="2" numFmtId="0" xfId="0" applyBorder="1" applyFill="1" applyFont="1"/>
    <xf borderId="1" fillId="7" fontId="2" numFmtId="0" xfId="0" applyBorder="1" applyFill="1" applyFont="1"/>
    <xf borderId="2" fillId="8" fontId="1" numFmtId="0" xfId="0" applyAlignment="1" applyBorder="1" applyFill="1" applyFont="1">
      <alignment readingOrder="0" vertical="bottom"/>
    </xf>
    <xf borderId="3" fillId="0" fontId="3" numFmtId="164" xfId="0" applyAlignment="1" applyBorder="1" applyFont="1" applyNumberFormat="1">
      <alignment horizontal="center" readingOrder="0" vertical="bottom"/>
    </xf>
    <xf borderId="3" fillId="0" fontId="3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3" fillId="3" fontId="1" numFmtId="0" xfId="0" applyAlignment="1" applyBorder="1" applyFont="1">
      <alignment vertical="bottom"/>
    </xf>
    <xf borderId="3" fillId="4" fontId="1" numFmtId="0" xfId="0" applyAlignment="1" applyBorder="1" applyFont="1">
      <alignment vertical="bottom"/>
    </xf>
    <xf borderId="3" fillId="5" fontId="1" numFmtId="0" xfId="0" applyAlignment="1" applyBorder="1" applyFont="1">
      <alignment vertical="bottom"/>
    </xf>
    <xf borderId="3" fillId="6" fontId="2" numFmtId="0" xfId="0" applyBorder="1" applyFont="1"/>
    <xf borderId="3" fillId="7" fontId="2" numFmtId="0" xfId="0" applyBorder="1" applyFont="1"/>
    <xf borderId="3" fillId="9" fontId="4" numFmtId="0" xfId="0" applyAlignment="1" applyBorder="1" applyFill="1" applyFont="1">
      <alignment horizontal="center" readingOrder="0" vertical="bottom"/>
    </xf>
    <xf borderId="3" fillId="10" fontId="4" numFmtId="0" xfId="0" applyAlignment="1" applyBorder="1" applyFill="1" applyFont="1">
      <alignment horizontal="center" readingOrder="0" vertical="bottom"/>
    </xf>
    <xf borderId="3" fillId="11" fontId="4" numFmtId="0" xfId="0" applyAlignment="1" applyBorder="1" applyFill="1" applyFont="1">
      <alignment horizontal="center" readingOrder="0" vertical="bottom"/>
    </xf>
    <xf borderId="4" fillId="12" fontId="4" numFmtId="0" xfId="0" applyAlignment="1" applyBorder="1" applyFill="1" applyFont="1">
      <alignment horizontal="center" readingOrder="0" vertical="bottom"/>
    </xf>
    <xf borderId="4" fillId="13" fontId="4" numFmtId="0" xfId="0" applyAlignment="1" applyBorder="1" applyFill="1" applyFont="1">
      <alignment horizontal="center" readingOrder="0" vertical="bottom"/>
    </xf>
    <xf borderId="5" fillId="14" fontId="4" numFmtId="0" xfId="0" applyAlignment="1" applyBorder="1" applyFill="1" applyFont="1">
      <alignment horizontal="center" readingOrder="0" vertical="bottom"/>
    </xf>
    <xf borderId="6" fillId="0" fontId="5" numFmtId="0" xfId="0" applyAlignment="1" applyBorder="1" applyFont="1">
      <alignment readingOrder="0"/>
    </xf>
    <xf borderId="0" fillId="15" fontId="6" numFmtId="164" xfId="0" applyAlignment="1" applyFill="1" applyFont="1" applyNumberFormat="1">
      <alignment horizontal="right" readingOrder="0" vertical="bottom"/>
    </xf>
    <xf borderId="0" fillId="0" fontId="1" numFmtId="164" xfId="0" applyAlignment="1" applyFont="1" applyNumberFormat="1">
      <alignment horizontal="center" readingOrder="0" vertical="bottom"/>
    </xf>
    <xf borderId="0" fillId="2" fontId="1" numFmtId="164" xfId="0" applyAlignment="1" applyFont="1" applyNumberFormat="1">
      <alignment horizontal="right" vertical="bottom"/>
    </xf>
    <xf borderId="0" fillId="3" fontId="1" numFmtId="164" xfId="0" applyAlignment="1" applyFont="1" applyNumberFormat="1">
      <alignment horizontal="right" vertical="bottom"/>
    </xf>
    <xf borderId="0" fillId="4" fontId="1" numFmtId="164" xfId="0" applyAlignment="1" applyFont="1" applyNumberFormat="1">
      <alignment horizontal="right" vertical="bottom"/>
    </xf>
    <xf borderId="0" fillId="5" fontId="1" numFmtId="164" xfId="0" applyAlignment="1" applyFont="1" applyNumberFormat="1">
      <alignment horizontal="right" vertical="bottom"/>
    </xf>
    <xf borderId="0" fillId="6" fontId="2" numFmtId="164" xfId="0" applyFont="1" applyNumberFormat="1"/>
    <xf borderId="0" fillId="7" fontId="2" numFmtId="164" xfId="0" applyFont="1" applyNumberFormat="1"/>
    <xf borderId="0" fillId="0" fontId="1" numFmtId="0" xfId="0" applyAlignment="1" applyFont="1">
      <alignment horizontal="center" readingOrder="0" vertical="bottom"/>
    </xf>
    <xf borderId="7" fillId="0" fontId="1" numFmtId="0" xfId="0" applyAlignment="1" applyBorder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6" fillId="15" fontId="6" numFmtId="0" xfId="0" applyAlignment="1" applyBorder="1" applyFont="1">
      <alignment readingOrder="0" vertical="bottom"/>
    </xf>
    <xf borderId="0" fillId="0" fontId="1" numFmtId="164" xfId="0" applyAlignment="1" applyFont="1" applyNumberFormat="1">
      <alignment horizontal="center" vertical="bottom"/>
    </xf>
    <xf borderId="6" fillId="0" fontId="1" numFmtId="0" xfId="0" applyAlignment="1" applyBorder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1" fillId="0" fontId="1" numFmtId="164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vertical="bottom"/>
    </xf>
    <xf borderId="1" fillId="3" fontId="1" numFmtId="164" xfId="0" applyAlignment="1" applyBorder="1" applyFont="1" applyNumberFormat="1">
      <alignment vertical="bottom"/>
    </xf>
    <xf borderId="1" fillId="4" fontId="1" numFmtId="164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8" fillId="0" fontId="2" numFmtId="0" xfId="0" applyBorder="1" applyFont="1"/>
    <xf borderId="0" fillId="2" fontId="1" numFmtId="164" xfId="0" applyAlignment="1" applyFont="1" applyNumberFormat="1">
      <alignment vertical="bottom"/>
    </xf>
    <xf borderId="0" fillId="3" fontId="1" numFmtId="164" xfId="0" applyAlignment="1" applyFont="1" applyNumberFormat="1">
      <alignment vertical="bottom"/>
    </xf>
    <xf borderId="0" fillId="4" fontId="1" numFmtId="164" xfId="0" applyAlignment="1" applyFont="1" applyNumberFormat="1">
      <alignment vertical="bottom"/>
    </xf>
    <xf borderId="0" fillId="5" fontId="1" numFmtId="164" xfId="0" applyAlignment="1" applyFont="1" applyNumberFormat="1">
      <alignment vertical="bottom"/>
    </xf>
    <xf borderId="0" fillId="6" fontId="2" numFmtId="0" xfId="0" applyFont="1"/>
    <xf borderId="0" fillId="7" fontId="2" numFmtId="0" xfId="0" applyFont="1"/>
    <xf borderId="9" fillId="0" fontId="1" numFmtId="0" xfId="0" applyAlignment="1" applyBorder="1" applyFont="1">
      <alignment vertical="bottom"/>
    </xf>
    <xf borderId="7" fillId="0" fontId="2" numFmtId="0" xfId="0" applyBorder="1" applyFont="1"/>
    <xf borderId="6" fillId="0" fontId="3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6" fontId="1" numFmtId="164" xfId="0" applyAlignment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10" fillId="0" fontId="1" numFmtId="164" xfId="0" applyAlignment="1" applyBorder="1" applyFont="1" applyNumberFormat="1">
      <alignment horizontal="right" vertical="bottom"/>
    </xf>
    <xf borderId="11" fillId="0" fontId="1" numFmtId="0" xfId="0" applyAlignment="1" applyBorder="1" applyFont="1">
      <alignment vertical="bottom"/>
    </xf>
    <xf borderId="0" fillId="2" fontId="3" numFmtId="164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4" fontId="3" numFmtId="164" xfId="0" applyAlignment="1" applyFont="1" applyNumberFormat="1">
      <alignment horizontal="right" vertical="bottom"/>
    </xf>
    <xf borderId="0" fillId="5" fontId="3" numFmtId="164" xfId="0" applyAlignment="1" applyFont="1" applyNumberFormat="1">
      <alignment horizontal="right" vertical="bottom"/>
    </xf>
    <xf borderId="0" fillId="6" fontId="3" numFmtId="164" xfId="0" applyAlignment="1" applyFont="1" applyNumberFormat="1">
      <alignment horizontal="right" vertical="bottom"/>
    </xf>
    <xf borderId="0" fillId="7" fontId="3" numFmtId="164" xfId="0" applyAlignment="1" applyFont="1" applyNumberFormat="1">
      <alignment horizontal="right" vertical="bottom"/>
    </xf>
    <xf borderId="0" fillId="6" fontId="1" numFmtId="0" xfId="0" applyAlignment="1" applyFont="1">
      <alignment vertical="bottom"/>
    </xf>
    <xf borderId="0" fillId="7" fontId="1" numFmtId="0" xfId="0" applyAlignment="1" applyFont="1">
      <alignment vertical="bottom"/>
    </xf>
    <xf borderId="12" fillId="16" fontId="7" numFmtId="0" xfId="0" applyAlignment="1" applyBorder="1" applyFill="1" applyFont="1">
      <alignment readingOrder="0"/>
    </xf>
    <xf borderId="13" fillId="0" fontId="1" numFmtId="0" xfId="0" applyAlignment="1" applyBorder="1" applyFont="1">
      <alignment horizontal="center" vertical="bottom"/>
    </xf>
    <xf borderId="14" fillId="16" fontId="7" numFmtId="0" xfId="0" applyBorder="1" applyFont="1"/>
    <xf borderId="15" fillId="0" fontId="1" numFmtId="0" xfId="0" applyAlignment="1" applyBorder="1" applyFont="1">
      <alignment horizontal="center" readingOrder="0" vertical="bottom"/>
    </xf>
    <xf borderId="0" fillId="2" fontId="2" numFmtId="0" xfId="0" applyFont="1"/>
    <xf borderId="0" fillId="3" fontId="2" numFmtId="0" xfId="0" applyFont="1"/>
    <xf borderId="0" fillId="4" fontId="2" numFmtId="0" xfId="0" applyFont="1"/>
    <xf borderId="0" fillId="5" fontId="2" numFmtId="0" xfId="0" applyFont="1"/>
    <xf borderId="16" fillId="16" fontId="7" numFmtId="0" xfId="0" applyBorder="1" applyFont="1"/>
    <xf borderId="17" fillId="0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1" fillId="0" fontId="2" numFmtId="0" xfId="0" applyBorder="1" applyFont="1"/>
    <xf borderId="0" fillId="0" fontId="5" numFmtId="0" xfId="0" applyAlignment="1" applyFont="1">
      <alignment readingOrder="0"/>
    </xf>
    <xf borderId="0" fillId="0" fontId="5" numFmtId="0" xfId="0" applyFont="1"/>
    <xf borderId="10" fillId="0" fontId="3" numFmtId="0" xfId="0" applyAlignment="1" applyBorder="1" applyFont="1">
      <alignment vertical="bottom"/>
    </xf>
    <xf borderId="18" fillId="0" fontId="3" numFmtId="0" xfId="0" applyAlignment="1" applyBorder="1" applyFont="1">
      <alignment vertical="bottom"/>
    </xf>
    <xf borderId="18" fillId="0" fontId="3" numFmtId="164" xfId="0" applyAlignment="1" applyBorder="1" applyFont="1" applyNumberFormat="1">
      <alignment horizontal="right" vertical="bottom"/>
    </xf>
    <xf borderId="10" fillId="2" fontId="3" numFmtId="164" xfId="0" applyAlignment="1" applyBorder="1" applyFont="1" applyNumberFormat="1">
      <alignment horizontal="right" vertical="bottom"/>
    </xf>
    <xf borderId="10" fillId="3" fontId="3" numFmtId="164" xfId="0" applyAlignment="1" applyBorder="1" applyFont="1" applyNumberFormat="1">
      <alignment horizontal="right" vertical="bottom"/>
    </xf>
    <xf borderId="10" fillId="4" fontId="3" numFmtId="164" xfId="0" applyAlignment="1" applyBorder="1" applyFont="1" applyNumberFormat="1">
      <alignment horizontal="right" vertical="bottom"/>
    </xf>
    <xf borderId="10" fillId="5" fontId="3" numFmtId="164" xfId="0" applyAlignment="1" applyBorder="1" applyFont="1" applyNumberFormat="1">
      <alignment horizontal="right" vertical="bottom"/>
    </xf>
    <xf borderId="10" fillId="0" fontId="3" numFmtId="164" xfId="0" applyAlignment="1" applyBorder="1" applyFont="1" applyNumberFormat="1">
      <alignment horizontal="right" readingOrder="0" vertical="bottom"/>
    </xf>
    <xf borderId="10" fillId="2" fontId="3" numFmtId="164" xfId="0" applyAlignment="1" applyBorder="1" applyFont="1" applyNumberFormat="1">
      <alignment horizontal="right" readingOrder="0" vertical="bottom"/>
    </xf>
    <xf borderId="10" fillId="3" fontId="3" numFmtId="164" xfId="0" applyAlignment="1" applyBorder="1" applyFont="1" applyNumberFormat="1">
      <alignment horizontal="right" readingOrder="0" vertical="bottom"/>
    </xf>
    <xf borderId="10" fillId="4" fontId="3" numFmtId="164" xfId="0" applyAlignment="1" applyBorder="1" applyFont="1" applyNumberFormat="1">
      <alignment horizontal="right" readingOrder="0" vertical="bottom"/>
    </xf>
    <xf borderId="10" fillId="5" fontId="3" numFmtId="164" xfId="0" applyAlignment="1" applyBorder="1" applyFont="1" applyNumberFormat="1">
      <alignment horizontal="right" readingOrder="0" vertical="bottom"/>
    </xf>
    <xf borderId="10" fillId="0" fontId="3" numFmtId="0" xfId="0" applyAlignment="1" applyBorder="1" applyFont="1">
      <alignment readingOrder="0" vertical="bottom"/>
    </xf>
    <xf borderId="10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Sheet2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:C24" displayName="Table_1" name="Table_1" id="1">
  <tableColumns count="2">
    <tableColumn name="Column1" id="1"/>
    <tableColumn name="Column2" id="2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88"/>
    <col customWidth="1" min="4" max="4" width="4.75"/>
  </cols>
  <sheetData>
    <row r="3">
      <c r="B3" s="1"/>
      <c r="C3" s="1"/>
      <c r="D3" s="1"/>
      <c r="E3" s="2"/>
      <c r="F3" s="3"/>
      <c r="G3" s="4"/>
      <c r="H3" s="5"/>
      <c r="I3" s="6"/>
      <c r="J3" s="7"/>
      <c r="K3" s="1"/>
      <c r="L3" s="1"/>
      <c r="M3" s="1"/>
      <c r="N3" s="1"/>
      <c r="O3" s="1"/>
    </row>
    <row r="4">
      <c r="B4" s="8" t="s">
        <v>0</v>
      </c>
      <c r="C4" s="9" t="s">
        <v>1</v>
      </c>
      <c r="D4" s="10" t="s">
        <v>2</v>
      </c>
      <c r="E4" s="11"/>
      <c r="F4" s="12"/>
      <c r="G4" s="13"/>
      <c r="H4" s="14"/>
      <c r="I4" s="15"/>
      <c r="J4" s="16"/>
      <c r="K4" s="17" t="s">
        <v>3</v>
      </c>
      <c r="L4" s="18" t="s">
        <v>4</v>
      </c>
      <c r="M4" s="19" t="s">
        <v>5</v>
      </c>
      <c r="N4" s="20" t="s">
        <v>6</v>
      </c>
      <c r="O4" s="21" t="s">
        <v>7</v>
      </c>
      <c r="P4" s="22" t="s">
        <v>8</v>
      </c>
    </row>
    <row r="5">
      <c r="B5" s="23"/>
      <c r="C5" s="24"/>
      <c r="D5" s="25" t="b">
        <v>0</v>
      </c>
      <c r="E5" s="26" t="str">
        <f t="shared" ref="E5:J5" si="1">IF(K5=TRUE, IFERROR($B5 / COUNTIF($J5:$O5, TRUE), 0), "")</f>
        <v/>
      </c>
      <c r="F5" s="27" t="str">
        <f t="shared" si="1"/>
        <v/>
      </c>
      <c r="G5" s="28" t="str">
        <f t="shared" si="1"/>
        <v/>
      </c>
      <c r="H5" s="29" t="str">
        <f t="shared" si="1"/>
        <v/>
      </c>
      <c r="I5" s="30" t="str">
        <f t="shared" si="1"/>
        <v/>
      </c>
      <c r="J5" s="31" t="str">
        <f t="shared" si="1"/>
        <v/>
      </c>
      <c r="K5" s="32" t="b">
        <v>0</v>
      </c>
      <c r="L5" s="32" t="b">
        <v>0</v>
      </c>
      <c r="M5" s="32" t="b">
        <v>0</v>
      </c>
      <c r="N5" s="32" t="b">
        <v>0</v>
      </c>
      <c r="O5" s="32" t="b">
        <v>0</v>
      </c>
      <c r="P5" s="33" t="b">
        <v>0</v>
      </c>
    </row>
    <row r="6">
      <c r="B6" s="23"/>
      <c r="C6" s="24"/>
      <c r="D6" s="25" t="b">
        <v>0</v>
      </c>
      <c r="E6" s="26" t="str">
        <f t="shared" ref="E6:J6" si="2">IF(K6=TRUE, IFERROR($B6 / COUNTIF($J6:$O6, TRUE), 0), "")</f>
        <v/>
      </c>
      <c r="F6" s="27" t="str">
        <f t="shared" si="2"/>
        <v/>
      </c>
      <c r="G6" s="28" t="str">
        <f t="shared" si="2"/>
        <v/>
      </c>
      <c r="H6" s="29" t="str">
        <f t="shared" si="2"/>
        <v/>
      </c>
      <c r="I6" s="30" t="str">
        <f t="shared" si="2"/>
        <v/>
      </c>
      <c r="J6" s="31" t="str">
        <f t="shared" si="2"/>
        <v/>
      </c>
      <c r="K6" s="32" t="b">
        <v>0</v>
      </c>
      <c r="L6" s="32" t="b">
        <v>0</v>
      </c>
      <c r="M6" s="32" t="b">
        <v>0</v>
      </c>
      <c r="N6" s="32" t="b">
        <v>0</v>
      </c>
      <c r="O6" s="32" t="b">
        <v>0</v>
      </c>
      <c r="P6" s="34" t="b">
        <v>0</v>
      </c>
    </row>
    <row r="7">
      <c r="B7" s="23"/>
      <c r="C7" s="24"/>
      <c r="D7" s="25" t="b">
        <v>0</v>
      </c>
      <c r="E7" s="26" t="str">
        <f t="shared" ref="E7:J7" si="3">IF(K7=TRUE, IFERROR($B7 / COUNTIF($J7:$O7, TRUE), 0), "")</f>
        <v/>
      </c>
      <c r="F7" s="27" t="str">
        <f t="shared" si="3"/>
        <v/>
      </c>
      <c r="G7" s="28" t="str">
        <f t="shared" si="3"/>
        <v/>
      </c>
      <c r="H7" s="29" t="str">
        <f t="shared" si="3"/>
        <v/>
      </c>
      <c r="I7" s="30" t="str">
        <f t="shared" si="3"/>
        <v/>
      </c>
      <c r="J7" s="31" t="str">
        <f t="shared" si="3"/>
        <v/>
      </c>
      <c r="K7" s="32" t="b">
        <v>0</v>
      </c>
      <c r="L7" s="32" t="b">
        <v>0</v>
      </c>
      <c r="M7" s="32" t="b">
        <v>0</v>
      </c>
      <c r="N7" s="32" t="b">
        <v>0</v>
      </c>
      <c r="O7" s="32" t="b">
        <v>0</v>
      </c>
      <c r="P7" s="34" t="b">
        <v>0</v>
      </c>
    </row>
    <row r="8">
      <c r="B8" s="23"/>
      <c r="C8" s="24"/>
      <c r="D8" s="25" t="b">
        <v>0</v>
      </c>
      <c r="E8" s="26" t="str">
        <f t="shared" ref="E8:J8" si="4">IF(K8=TRUE, IFERROR($B8 / COUNTIF($J8:$O8, TRUE), 0), "")</f>
        <v/>
      </c>
      <c r="F8" s="27" t="str">
        <f t="shared" si="4"/>
        <v/>
      </c>
      <c r="G8" s="28" t="str">
        <f t="shared" si="4"/>
        <v/>
      </c>
      <c r="H8" s="29" t="str">
        <f t="shared" si="4"/>
        <v/>
      </c>
      <c r="I8" s="30" t="str">
        <f t="shared" si="4"/>
        <v/>
      </c>
      <c r="J8" s="31" t="str">
        <f t="shared" si="4"/>
        <v/>
      </c>
      <c r="K8" s="32" t="b">
        <v>0</v>
      </c>
      <c r="L8" s="32" t="b">
        <v>0</v>
      </c>
      <c r="M8" s="32" t="b">
        <v>0</v>
      </c>
      <c r="N8" s="32" t="b">
        <v>0</v>
      </c>
      <c r="O8" s="32" t="b">
        <v>0</v>
      </c>
      <c r="P8" s="34" t="b">
        <v>0</v>
      </c>
    </row>
    <row r="9">
      <c r="B9" s="23"/>
      <c r="C9" s="24"/>
      <c r="D9" s="25" t="b">
        <v>0</v>
      </c>
      <c r="E9" s="26" t="str">
        <f t="shared" ref="E9:J9" si="5">IF(K9=TRUE, IFERROR($B9 / COUNTIF($J9:$O9, TRUE), 0), "")</f>
        <v/>
      </c>
      <c r="F9" s="27" t="str">
        <f t="shared" si="5"/>
        <v/>
      </c>
      <c r="G9" s="28" t="str">
        <f t="shared" si="5"/>
        <v/>
      </c>
      <c r="H9" s="29" t="str">
        <f t="shared" si="5"/>
        <v/>
      </c>
      <c r="I9" s="30" t="str">
        <f t="shared" si="5"/>
        <v/>
      </c>
      <c r="J9" s="31" t="str">
        <f t="shared" si="5"/>
        <v/>
      </c>
      <c r="K9" s="32" t="b">
        <v>0</v>
      </c>
      <c r="L9" s="32" t="b">
        <v>0</v>
      </c>
      <c r="M9" s="32" t="b">
        <v>0</v>
      </c>
      <c r="N9" s="32" t="b">
        <v>0</v>
      </c>
      <c r="O9" s="32" t="b">
        <v>0</v>
      </c>
      <c r="P9" s="34" t="b">
        <v>0</v>
      </c>
    </row>
    <row r="10">
      <c r="B10" s="23"/>
      <c r="C10" s="24"/>
      <c r="D10" s="25" t="b">
        <v>0</v>
      </c>
      <c r="E10" s="26" t="str">
        <f t="shared" ref="E10:J10" si="6">IF(K10=TRUE, IFERROR($B10 / COUNTIF($J10:$O10, TRUE), 0), "")</f>
        <v/>
      </c>
      <c r="F10" s="27" t="str">
        <f t="shared" si="6"/>
        <v/>
      </c>
      <c r="G10" s="28" t="str">
        <f t="shared" si="6"/>
        <v/>
      </c>
      <c r="H10" s="29" t="str">
        <f t="shared" si="6"/>
        <v/>
      </c>
      <c r="I10" s="30" t="str">
        <f t="shared" si="6"/>
        <v/>
      </c>
      <c r="J10" s="31" t="str">
        <f t="shared" si="6"/>
        <v/>
      </c>
      <c r="K10" s="32" t="b">
        <v>0</v>
      </c>
      <c r="L10" s="32" t="b">
        <v>0</v>
      </c>
      <c r="M10" s="32" t="b">
        <v>0</v>
      </c>
      <c r="N10" s="32" t="b">
        <v>0</v>
      </c>
      <c r="O10" s="32" t="b">
        <v>0</v>
      </c>
      <c r="P10" s="34" t="b">
        <v>0</v>
      </c>
    </row>
    <row r="11">
      <c r="B11" s="23"/>
      <c r="C11" s="24"/>
      <c r="D11" s="25" t="b">
        <v>0</v>
      </c>
      <c r="E11" s="26" t="str">
        <f t="shared" ref="E11:J11" si="7">IF(K11=TRUE, IFERROR($B11 / COUNTIF($J11:$O11, TRUE), 0), "")</f>
        <v/>
      </c>
      <c r="F11" s="27" t="str">
        <f t="shared" si="7"/>
        <v/>
      </c>
      <c r="G11" s="28" t="str">
        <f t="shared" si="7"/>
        <v/>
      </c>
      <c r="H11" s="29" t="str">
        <f t="shared" si="7"/>
        <v/>
      </c>
      <c r="I11" s="30" t="str">
        <f t="shared" si="7"/>
        <v/>
      </c>
      <c r="J11" s="31" t="str">
        <f t="shared" si="7"/>
        <v/>
      </c>
      <c r="K11" s="32" t="b">
        <v>0</v>
      </c>
      <c r="L11" s="32" t="b">
        <v>0</v>
      </c>
      <c r="M11" s="32" t="b">
        <v>0</v>
      </c>
      <c r="N11" s="32" t="b">
        <v>0</v>
      </c>
      <c r="O11" s="32" t="b">
        <v>0</v>
      </c>
      <c r="P11" s="34" t="b">
        <v>0</v>
      </c>
    </row>
    <row r="12">
      <c r="B12" s="23"/>
      <c r="C12" s="24"/>
      <c r="D12" s="25" t="b">
        <v>0</v>
      </c>
      <c r="E12" s="26" t="str">
        <f t="shared" ref="E12:J12" si="8">IF(K12=TRUE, IFERROR($B12 / COUNTIF($J12:$O12, TRUE), 0), "")</f>
        <v/>
      </c>
      <c r="F12" s="27" t="str">
        <f t="shared" si="8"/>
        <v/>
      </c>
      <c r="G12" s="28" t="str">
        <f t="shared" si="8"/>
        <v/>
      </c>
      <c r="H12" s="29" t="str">
        <f t="shared" si="8"/>
        <v/>
      </c>
      <c r="I12" s="30" t="str">
        <f t="shared" si="8"/>
        <v/>
      </c>
      <c r="J12" s="31" t="str">
        <f t="shared" si="8"/>
        <v/>
      </c>
      <c r="K12" s="32" t="b">
        <v>0</v>
      </c>
      <c r="L12" s="32" t="b">
        <v>0</v>
      </c>
      <c r="M12" s="32" t="b">
        <v>0</v>
      </c>
      <c r="N12" s="32" t="b">
        <v>0</v>
      </c>
      <c r="O12" s="32" t="b">
        <v>0</v>
      </c>
      <c r="P12" s="34" t="b">
        <v>0</v>
      </c>
    </row>
    <row r="13">
      <c r="B13" s="23"/>
      <c r="C13" s="24"/>
      <c r="D13" s="25" t="b">
        <v>0</v>
      </c>
      <c r="E13" s="26" t="str">
        <f t="shared" ref="E13:J13" si="9">IF(K13=TRUE, IFERROR($B13 / COUNTIF($J13:$O13, TRUE), 0), "")</f>
        <v/>
      </c>
      <c r="F13" s="27" t="str">
        <f t="shared" si="9"/>
        <v/>
      </c>
      <c r="G13" s="28" t="str">
        <f t="shared" si="9"/>
        <v/>
      </c>
      <c r="H13" s="29" t="str">
        <f t="shared" si="9"/>
        <v/>
      </c>
      <c r="I13" s="30" t="str">
        <f t="shared" si="9"/>
        <v/>
      </c>
      <c r="J13" s="31" t="str">
        <f t="shared" si="9"/>
        <v/>
      </c>
      <c r="K13" s="32" t="b">
        <v>0</v>
      </c>
      <c r="L13" s="32" t="b">
        <v>0</v>
      </c>
      <c r="M13" s="32" t="b">
        <v>0</v>
      </c>
      <c r="N13" s="32" t="b">
        <v>0</v>
      </c>
      <c r="O13" s="32" t="b">
        <v>0</v>
      </c>
      <c r="P13" s="34" t="b">
        <v>0</v>
      </c>
    </row>
    <row r="14">
      <c r="B14" s="23"/>
      <c r="C14" s="24"/>
      <c r="D14" s="25" t="b">
        <v>0</v>
      </c>
      <c r="E14" s="26" t="str">
        <f t="shared" ref="E14:J14" si="10">IF(K14=TRUE, IFERROR($B14 / COUNTIF($J14:$O14, TRUE), 0), "")</f>
        <v/>
      </c>
      <c r="F14" s="27" t="str">
        <f t="shared" si="10"/>
        <v/>
      </c>
      <c r="G14" s="28" t="str">
        <f t="shared" si="10"/>
        <v/>
      </c>
      <c r="H14" s="29" t="str">
        <f t="shared" si="10"/>
        <v/>
      </c>
      <c r="I14" s="30" t="str">
        <f t="shared" si="10"/>
        <v/>
      </c>
      <c r="J14" s="31" t="str">
        <f t="shared" si="10"/>
        <v/>
      </c>
      <c r="K14" s="32" t="b">
        <v>0</v>
      </c>
      <c r="L14" s="32" t="b">
        <v>0</v>
      </c>
      <c r="M14" s="32" t="b">
        <v>0</v>
      </c>
      <c r="N14" s="32" t="b">
        <v>0</v>
      </c>
      <c r="O14" s="32" t="b">
        <v>0</v>
      </c>
      <c r="P14" s="34" t="b">
        <v>0</v>
      </c>
    </row>
    <row r="15">
      <c r="B15" s="23"/>
      <c r="C15" s="24"/>
      <c r="D15" s="25" t="b">
        <v>0</v>
      </c>
      <c r="E15" s="26" t="str">
        <f t="shared" ref="E15:J15" si="11">IF(K15=TRUE, IFERROR($B15 / COUNTIF($J15:$O15, TRUE), 0), "")</f>
        <v/>
      </c>
      <c r="F15" s="27" t="str">
        <f t="shared" si="11"/>
        <v/>
      </c>
      <c r="G15" s="28" t="str">
        <f t="shared" si="11"/>
        <v/>
      </c>
      <c r="H15" s="29" t="str">
        <f t="shared" si="11"/>
        <v/>
      </c>
      <c r="I15" s="30" t="str">
        <f t="shared" si="11"/>
        <v/>
      </c>
      <c r="J15" s="31" t="str">
        <f t="shared" si="11"/>
        <v/>
      </c>
      <c r="K15" s="32" t="b">
        <v>0</v>
      </c>
      <c r="L15" s="32" t="b">
        <v>0</v>
      </c>
      <c r="M15" s="32" t="b">
        <v>0</v>
      </c>
      <c r="N15" s="32" t="b">
        <v>0</v>
      </c>
      <c r="O15" s="32" t="b">
        <v>0</v>
      </c>
      <c r="P15" s="33" t="b">
        <v>0</v>
      </c>
    </row>
    <row r="16">
      <c r="B16" s="35"/>
      <c r="C16" s="24"/>
      <c r="D16" s="36" t="b">
        <v>0</v>
      </c>
      <c r="E16" s="26" t="str">
        <f t="shared" ref="E16:J16" si="12">IF(K16=TRUE, IFERROR($B16 / COUNTIF($J16:$O16, TRUE), 0), "")</f>
        <v/>
      </c>
      <c r="F16" s="27" t="str">
        <f t="shared" si="12"/>
        <v/>
      </c>
      <c r="G16" s="28" t="str">
        <f t="shared" si="12"/>
        <v/>
      </c>
      <c r="H16" s="29" t="str">
        <f t="shared" si="12"/>
        <v/>
      </c>
      <c r="I16" s="30" t="str">
        <f t="shared" si="12"/>
        <v/>
      </c>
      <c r="J16" s="31" t="str">
        <f t="shared" si="12"/>
        <v/>
      </c>
      <c r="K16" s="32" t="b">
        <v>0</v>
      </c>
      <c r="L16" s="32" t="b">
        <v>0</v>
      </c>
      <c r="M16" s="32" t="b">
        <v>0</v>
      </c>
      <c r="N16" s="32" t="b">
        <v>0</v>
      </c>
      <c r="O16" s="32" t="b">
        <v>0</v>
      </c>
      <c r="P16" s="34" t="b">
        <v>0</v>
      </c>
    </row>
    <row r="17">
      <c r="B17" s="35"/>
      <c r="C17" s="24"/>
      <c r="D17" s="36" t="b">
        <v>0</v>
      </c>
      <c r="E17" s="26" t="str">
        <f t="shared" ref="E17:J17" si="13">IF(K17=TRUE, IFERROR($B17 / COUNTIF($J17:$O17, TRUE), 0), "")</f>
        <v/>
      </c>
      <c r="F17" s="27" t="str">
        <f t="shared" si="13"/>
        <v/>
      </c>
      <c r="G17" s="28" t="str">
        <f t="shared" si="13"/>
        <v/>
      </c>
      <c r="H17" s="29" t="str">
        <f t="shared" si="13"/>
        <v/>
      </c>
      <c r="I17" s="30" t="str">
        <f t="shared" si="13"/>
        <v/>
      </c>
      <c r="J17" s="31" t="str">
        <f t="shared" si="13"/>
        <v/>
      </c>
      <c r="K17" s="32" t="b">
        <v>0</v>
      </c>
      <c r="L17" s="32" t="b">
        <v>0</v>
      </c>
      <c r="M17" s="32" t="b">
        <v>0</v>
      </c>
      <c r="N17" s="32" t="b">
        <v>0</v>
      </c>
      <c r="O17" s="32" t="b">
        <v>0</v>
      </c>
      <c r="P17" s="34" t="b">
        <v>0</v>
      </c>
    </row>
    <row r="18">
      <c r="B18" s="35"/>
      <c r="C18" s="24"/>
      <c r="D18" s="25" t="b">
        <v>0</v>
      </c>
      <c r="E18" s="26" t="str">
        <f t="shared" ref="E18:J18" si="14">IF(K18=TRUE, IFERROR($B18 / COUNTIF($J18:$O18, TRUE), 0), "")</f>
        <v/>
      </c>
      <c r="F18" s="27" t="str">
        <f t="shared" si="14"/>
        <v/>
      </c>
      <c r="G18" s="28" t="str">
        <f t="shared" si="14"/>
        <v/>
      </c>
      <c r="H18" s="29" t="str">
        <f t="shared" si="14"/>
        <v/>
      </c>
      <c r="I18" s="30" t="str">
        <f t="shared" si="14"/>
        <v/>
      </c>
      <c r="J18" s="31" t="str">
        <f t="shared" si="14"/>
        <v/>
      </c>
      <c r="K18" s="32" t="b">
        <v>0</v>
      </c>
      <c r="L18" s="32" t="b">
        <v>0</v>
      </c>
      <c r="M18" s="32" t="b">
        <v>0</v>
      </c>
      <c r="N18" s="32" t="b">
        <v>0</v>
      </c>
      <c r="O18" s="32" t="b">
        <v>0</v>
      </c>
      <c r="P18" s="34" t="b">
        <v>0</v>
      </c>
    </row>
    <row r="19">
      <c r="B19" s="35"/>
      <c r="C19" s="24"/>
      <c r="D19" s="36" t="b">
        <v>0</v>
      </c>
      <c r="E19" s="26" t="str">
        <f t="shared" ref="E19:J19" si="15">IF(K19=TRUE, IFERROR($B19 / COUNTIF($J19:$O19, TRUE), 0), "")</f>
        <v/>
      </c>
      <c r="F19" s="27" t="str">
        <f t="shared" si="15"/>
        <v/>
      </c>
      <c r="G19" s="28" t="str">
        <f t="shared" si="15"/>
        <v/>
      </c>
      <c r="H19" s="29" t="str">
        <f t="shared" si="15"/>
        <v/>
      </c>
      <c r="I19" s="30" t="str">
        <f t="shared" si="15"/>
        <v/>
      </c>
      <c r="J19" s="31" t="str">
        <f t="shared" si="15"/>
        <v/>
      </c>
      <c r="K19" s="32" t="b">
        <v>0</v>
      </c>
      <c r="L19" s="32" t="b">
        <v>0</v>
      </c>
      <c r="M19" s="32" t="b">
        <v>0</v>
      </c>
      <c r="N19" s="32" t="b">
        <v>0</v>
      </c>
      <c r="O19" s="32" t="b">
        <v>0</v>
      </c>
      <c r="P19" s="34" t="b">
        <v>0</v>
      </c>
    </row>
    <row r="20">
      <c r="B20" s="35"/>
      <c r="C20" s="24"/>
      <c r="D20" s="25" t="b">
        <v>0</v>
      </c>
      <c r="E20" s="26" t="str">
        <f t="shared" ref="E20:J20" si="16">IF(K20=TRUE, IFERROR($B20 / COUNTIF($J20:$O20, TRUE), 0), "")</f>
        <v/>
      </c>
      <c r="F20" s="27" t="str">
        <f t="shared" si="16"/>
        <v/>
      </c>
      <c r="G20" s="28" t="str">
        <f t="shared" si="16"/>
        <v/>
      </c>
      <c r="H20" s="29" t="str">
        <f t="shared" si="16"/>
        <v/>
      </c>
      <c r="I20" s="30" t="str">
        <f t="shared" si="16"/>
        <v/>
      </c>
      <c r="J20" s="31" t="str">
        <f t="shared" si="16"/>
        <v/>
      </c>
      <c r="K20" s="32" t="b">
        <v>0</v>
      </c>
      <c r="L20" s="32" t="b">
        <v>0</v>
      </c>
      <c r="M20" s="32" t="b">
        <v>0</v>
      </c>
      <c r="N20" s="32" t="b">
        <v>0</v>
      </c>
      <c r="O20" s="32" t="b">
        <v>0</v>
      </c>
      <c r="P20" s="34" t="b">
        <v>0</v>
      </c>
    </row>
    <row r="21">
      <c r="B21" s="35"/>
      <c r="C21" s="24"/>
      <c r="D21" s="25" t="b">
        <v>0</v>
      </c>
      <c r="E21" s="26" t="str">
        <f t="shared" ref="E21:J21" si="17">IF(K21=TRUE, IFERROR($B21 / COUNTIF($J21:$O21, TRUE), 0), "")</f>
        <v/>
      </c>
      <c r="F21" s="27" t="str">
        <f t="shared" si="17"/>
        <v/>
      </c>
      <c r="G21" s="28" t="str">
        <f t="shared" si="17"/>
        <v/>
      </c>
      <c r="H21" s="29" t="str">
        <f t="shared" si="17"/>
        <v/>
      </c>
      <c r="I21" s="30" t="str">
        <f t="shared" si="17"/>
        <v/>
      </c>
      <c r="J21" s="31" t="str">
        <f t="shared" si="17"/>
        <v/>
      </c>
      <c r="K21" s="32" t="b">
        <v>0</v>
      </c>
      <c r="L21" s="32" t="b">
        <v>0</v>
      </c>
      <c r="M21" s="32" t="b">
        <v>0</v>
      </c>
      <c r="N21" s="32" t="b">
        <v>0</v>
      </c>
      <c r="O21" s="32" t="b">
        <v>0</v>
      </c>
      <c r="P21" s="34" t="b">
        <v>0</v>
      </c>
    </row>
    <row r="22">
      <c r="B22" s="35"/>
      <c r="C22" s="24"/>
      <c r="D22" s="36" t="b">
        <v>0</v>
      </c>
      <c r="E22" s="26" t="str">
        <f t="shared" ref="E22:J22" si="18">IF(K22=TRUE, IFERROR($B22 / COUNTIF($J22:$O22, TRUE), 0), "")</f>
        <v/>
      </c>
      <c r="F22" s="27" t="str">
        <f t="shared" si="18"/>
        <v/>
      </c>
      <c r="G22" s="28" t="str">
        <f t="shared" si="18"/>
        <v/>
      </c>
      <c r="H22" s="29" t="str">
        <f t="shared" si="18"/>
        <v/>
      </c>
      <c r="I22" s="30" t="str">
        <f t="shared" si="18"/>
        <v/>
      </c>
      <c r="J22" s="31" t="str">
        <f t="shared" si="18"/>
        <v/>
      </c>
      <c r="K22" s="32" t="b">
        <v>0</v>
      </c>
      <c r="L22" s="32" t="b">
        <v>0</v>
      </c>
      <c r="M22" s="32" t="b">
        <v>0</v>
      </c>
      <c r="N22" s="32" t="b">
        <v>0</v>
      </c>
      <c r="O22" s="32" t="b">
        <v>0</v>
      </c>
      <c r="P22" s="34" t="b">
        <v>0</v>
      </c>
    </row>
    <row r="23">
      <c r="B23" s="35"/>
      <c r="C23" s="24"/>
      <c r="D23" s="36" t="b">
        <v>0</v>
      </c>
      <c r="E23" s="26" t="str">
        <f t="shared" ref="E23:J23" si="19">IF(K23=TRUE, IFERROR($B23 / COUNTIF($J23:$O23, TRUE), 0), "")</f>
        <v/>
      </c>
      <c r="F23" s="27" t="str">
        <f t="shared" si="19"/>
        <v/>
      </c>
      <c r="G23" s="28" t="str">
        <f t="shared" si="19"/>
        <v/>
      </c>
      <c r="H23" s="29" t="str">
        <f t="shared" si="19"/>
        <v/>
      </c>
      <c r="I23" s="30" t="str">
        <f t="shared" si="19"/>
        <v/>
      </c>
      <c r="J23" s="31" t="str">
        <f t="shared" si="19"/>
        <v/>
      </c>
      <c r="K23" s="32" t="b">
        <v>0</v>
      </c>
      <c r="L23" s="32" t="b">
        <v>0</v>
      </c>
      <c r="M23" s="32" t="b">
        <v>0</v>
      </c>
      <c r="N23" s="32" t="b">
        <v>0</v>
      </c>
      <c r="O23" s="32" t="b">
        <v>0</v>
      </c>
      <c r="P23" s="34" t="b">
        <v>0</v>
      </c>
    </row>
    <row r="24">
      <c r="B24" s="35"/>
      <c r="C24" s="24"/>
      <c r="D24" s="36" t="b">
        <v>0</v>
      </c>
      <c r="E24" s="26" t="str">
        <f t="shared" ref="E24:J24" si="20">IF(K24=TRUE, IFERROR($B24 / COUNTIF($J24:$O24, TRUE), 0), "")</f>
        <v/>
      </c>
      <c r="F24" s="27" t="str">
        <f t="shared" si="20"/>
        <v/>
      </c>
      <c r="G24" s="28" t="str">
        <f t="shared" si="20"/>
        <v/>
      </c>
      <c r="H24" s="29" t="str">
        <f t="shared" si="20"/>
        <v/>
      </c>
      <c r="I24" s="30" t="str">
        <f t="shared" si="20"/>
        <v/>
      </c>
      <c r="J24" s="31" t="str">
        <f t="shared" si="20"/>
        <v/>
      </c>
      <c r="K24" s="32" t="b">
        <v>0</v>
      </c>
      <c r="L24" s="32" t="b">
        <v>0</v>
      </c>
      <c r="M24" s="32" t="b">
        <v>0</v>
      </c>
      <c r="N24" s="32" t="b">
        <v>0</v>
      </c>
      <c r="O24" s="32" t="b">
        <v>0</v>
      </c>
      <c r="P24" s="34" t="b">
        <v>0</v>
      </c>
    </row>
    <row r="25">
      <c r="B25" s="37"/>
      <c r="C25" s="38"/>
      <c r="D25" s="36" t="b">
        <v>0</v>
      </c>
      <c r="E25" s="26" t="str">
        <f t="shared" ref="E25:J25" si="21">IF(K25=TRUE, IFERROR($B25 / COUNTIF($J25:$O25, TRUE), 0), "")</f>
        <v/>
      </c>
      <c r="F25" s="27" t="str">
        <f t="shared" si="21"/>
        <v/>
      </c>
      <c r="G25" s="28" t="str">
        <f t="shared" si="21"/>
        <v/>
      </c>
      <c r="H25" s="29" t="str">
        <f t="shared" si="21"/>
        <v/>
      </c>
      <c r="I25" s="30" t="str">
        <f t="shared" si="21"/>
        <v/>
      </c>
      <c r="J25" s="31" t="str">
        <f t="shared" si="21"/>
        <v/>
      </c>
      <c r="K25" s="32" t="b">
        <v>0</v>
      </c>
      <c r="L25" s="32" t="b">
        <v>0</v>
      </c>
      <c r="M25" s="32" t="b">
        <v>0</v>
      </c>
      <c r="N25" s="32" t="b">
        <v>0</v>
      </c>
      <c r="O25" s="32" t="b">
        <v>0</v>
      </c>
      <c r="P25" s="34" t="b">
        <v>0</v>
      </c>
    </row>
    <row r="26">
      <c r="B26" s="37"/>
      <c r="C26" s="38"/>
      <c r="D26" s="36" t="b">
        <v>0</v>
      </c>
      <c r="E26" s="26" t="str">
        <f t="shared" ref="E26:J26" si="22">IF(K26=TRUE, IFERROR($B26 / COUNTIF($J26:$O26, TRUE), 0), "")</f>
        <v/>
      </c>
      <c r="F26" s="27" t="str">
        <f t="shared" si="22"/>
        <v/>
      </c>
      <c r="G26" s="28" t="str">
        <f t="shared" si="22"/>
        <v/>
      </c>
      <c r="H26" s="29" t="str">
        <f t="shared" si="22"/>
        <v/>
      </c>
      <c r="I26" s="30" t="str">
        <f t="shared" si="22"/>
        <v/>
      </c>
      <c r="J26" s="31" t="str">
        <f t="shared" si="22"/>
        <v/>
      </c>
      <c r="K26" s="32" t="b">
        <v>0</v>
      </c>
      <c r="L26" s="32" t="b">
        <v>0</v>
      </c>
      <c r="M26" s="32" t="b">
        <v>0</v>
      </c>
      <c r="N26" s="32" t="b">
        <v>0</v>
      </c>
      <c r="O26" s="32" t="b">
        <v>0</v>
      </c>
      <c r="P26" s="34" t="b">
        <v>0</v>
      </c>
    </row>
    <row r="27">
      <c r="B27" s="37"/>
      <c r="C27" s="38"/>
      <c r="D27" s="36" t="b">
        <v>0</v>
      </c>
      <c r="E27" s="26" t="str">
        <f t="shared" ref="E27:J27" si="23">IF(K27=TRUE, IFERROR($B27 / COUNTIF($J27:$O27, TRUE), 0), "")</f>
        <v/>
      </c>
      <c r="F27" s="27" t="str">
        <f t="shared" si="23"/>
        <v/>
      </c>
      <c r="G27" s="28" t="str">
        <f t="shared" si="23"/>
        <v/>
      </c>
      <c r="H27" s="29" t="str">
        <f t="shared" si="23"/>
        <v/>
      </c>
      <c r="I27" s="30" t="str">
        <f t="shared" si="23"/>
        <v/>
      </c>
      <c r="J27" s="31" t="str">
        <f t="shared" si="23"/>
        <v/>
      </c>
      <c r="K27" s="39" t="b">
        <v>0</v>
      </c>
      <c r="L27" s="39" t="b">
        <v>0</v>
      </c>
      <c r="M27" s="39" t="b">
        <v>0</v>
      </c>
      <c r="N27" s="39" t="b">
        <v>0</v>
      </c>
      <c r="O27" s="39" t="b">
        <v>0</v>
      </c>
      <c r="P27" s="34" t="b">
        <v>0</v>
      </c>
    </row>
    <row r="28">
      <c r="B28" s="37"/>
      <c r="C28" s="38"/>
      <c r="D28" s="36" t="b">
        <v>0</v>
      </c>
      <c r="E28" s="26" t="str">
        <f t="shared" ref="E28:J28" si="24">IF(K28=TRUE, IFERROR($B28 / COUNTIF($J28:$O28, TRUE), 0), "")</f>
        <v/>
      </c>
      <c r="F28" s="27" t="str">
        <f t="shared" si="24"/>
        <v/>
      </c>
      <c r="G28" s="28" t="str">
        <f t="shared" si="24"/>
        <v/>
      </c>
      <c r="H28" s="29" t="str">
        <f t="shared" si="24"/>
        <v/>
      </c>
      <c r="I28" s="30" t="str">
        <f t="shared" si="24"/>
        <v/>
      </c>
      <c r="J28" s="31" t="str">
        <f t="shared" si="24"/>
        <v/>
      </c>
      <c r="K28" s="39" t="b">
        <v>0</v>
      </c>
      <c r="L28" s="39" t="b">
        <v>0</v>
      </c>
      <c r="M28" s="39" t="b">
        <v>0</v>
      </c>
      <c r="N28" s="39" t="b">
        <v>0</v>
      </c>
      <c r="O28" s="39" t="b">
        <v>0</v>
      </c>
      <c r="P28" s="34" t="b">
        <v>0</v>
      </c>
    </row>
    <row r="29">
      <c r="B29" s="37"/>
      <c r="C29" s="38"/>
      <c r="D29" s="36" t="b">
        <v>0</v>
      </c>
      <c r="E29" s="26" t="str">
        <f t="shared" ref="E29:J29" si="25">IF(K29=TRUE, IFERROR($B29 / COUNTIF($J29:$O29, TRUE), 0), "")</f>
        <v/>
      </c>
      <c r="F29" s="27" t="str">
        <f t="shared" si="25"/>
        <v/>
      </c>
      <c r="G29" s="28" t="str">
        <f t="shared" si="25"/>
        <v/>
      </c>
      <c r="H29" s="29" t="str">
        <f t="shared" si="25"/>
        <v/>
      </c>
      <c r="I29" s="30" t="str">
        <f t="shared" si="25"/>
        <v/>
      </c>
      <c r="J29" s="31" t="str">
        <f t="shared" si="25"/>
        <v/>
      </c>
      <c r="K29" s="39" t="b">
        <v>0</v>
      </c>
      <c r="L29" s="39" t="b">
        <v>0</v>
      </c>
      <c r="M29" s="39" t="b">
        <v>0</v>
      </c>
      <c r="N29" s="39" t="b">
        <v>0</v>
      </c>
      <c r="O29" s="39" t="b">
        <v>0</v>
      </c>
      <c r="P29" s="34" t="b">
        <v>0</v>
      </c>
    </row>
    <row r="30">
      <c r="B30" s="37"/>
      <c r="C30" s="40"/>
      <c r="D30" s="40"/>
      <c r="E30" s="41"/>
      <c r="F30" s="42"/>
      <c r="G30" s="43"/>
      <c r="H30" s="44"/>
      <c r="I30" s="6"/>
      <c r="J30" s="7"/>
      <c r="K30" s="45"/>
      <c r="L30" s="45"/>
      <c r="M30" s="45"/>
      <c r="N30" s="45"/>
      <c r="O30" s="45"/>
      <c r="P30" s="46"/>
    </row>
    <row r="31">
      <c r="B31" s="37"/>
      <c r="C31" s="38"/>
      <c r="D31" s="38"/>
      <c r="E31" s="47"/>
      <c r="F31" s="48"/>
      <c r="G31" s="49" t="str">
        <f>C31</f>
        <v/>
      </c>
      <c r="H31" s="50"/>
      <c r="I31" s="51"/>
      <c r="J31" s="52"/>
      <c r="K31" s="1"/>
      <c r="L31" s="53"/>
      <c r="M31" s="1"/>
      <c r="N31" s="1"/>
      <c r="O31" s="1"/>
      <c r="P31" s="54"/>
    </row>
    <row r="32">
      <c r="B32" s="55" t="s">
        <v>9</v>
      </c>
      <c r="C32" s="56">
        <f>SUM(C5:C29)</f>
        <v>0</v>
      </c>
      <c r="D32" s="38"/>
      <c r="E32" s="26">
        <f t="shared" ref="E32:J32" si="26">SUM(E5:E31)</f>
        <v>0</v>
      </c>
      <c r="F32" s="27">
        <f t="shared" si="26"/>
        <v>0</v>
      </c>
      <c r="G32" s="28">
        <f t="shared" si="26"/>
        <v>0</v>
      </c>
      <c r="H32" s="29">
        <f t="shared" si="26"/>
        <v>0</v>
      </c>
      <c r="I32" s="57">
        <f t="shared" si="26"/>
        <v>0</v>
      </c>
      <c r="J32" s="58">
        <f t="shared" si="26"/>
        <v>0</v>
      </c>
      <c r="K32" s="1"/>
      <c r="L32" s="59">
        <f t="shared" ref="L32:L34" si="28">SUM(E32:J32)</f>
        <v>0</v>
      </c>
      <c r="M32" s="60" t="str">
        <f t="shared" ref="M32:M34" si="29">IF(L32=C32, "✅", "❌")</f>
        <v>✅</v>
      </c>
      <c r="P32" s="54"/>
    </row>
    <row r="33">
      <c r="B33" s="55" t="s">
        <v>10</v>
      </c>
      <c r="C33" s="56">
        <f>SUMIF($C5:$C29,TRUE,C5:C29)*0.0775</f>
        <v>0</v>
      </c>
      <c r="D33" s="38"/>
      <c r="E33" s="26">
        <f t="shared" ref="E33:J33" si="27">SUMIF($C5:$C29,TRUE,E5:E29)*0.0775</f>
        <v>0</v>
      </c>
      <c r="F33" s="27">
        <f t="shared" si="27"/>
        <v>0</v>
      </c>
      <c r="G33" s="28">
        <f t="shared" si="27"/>
        <v>0</v>
      </c>
      <c r="H33" s="29">
        <f t="shared" si="27"/>
        <v>0</v>
      </c>
      <c r="I33" s="57">
        <f t="shared" si="27"/>
        <v>0</v>
      </c>
      <c r="J33" s="58">
        <f t="shared" si="27"/>
        <v>0</v>
      </c>
      <c r="K33" s="1"/>
      <c r="L33" s="59">
        <f t="shared" si="28"/>
        <v>0</v>
      </c>
      <c r="M33" s="60" t="str">
        <f t="shared" si="29"/>
        <v>✅</v>
      </c>
      <c r="P33" s="54"/>
    </row>
    <row r="34">
      <c r="B34" s="55" t="s">
        <v>11</v>
      </c>
      <c r="C34" s="56">
        <f>SUM(C32:C33)</f>
        <v>0</v>
      </c>
      <c r="D34" s="38"/>
      <c r="E34" s="61">
        <f t="shared" ref="E34:J34" si="30">SUM(E32:E33)</f>
        <v>0</v>
      </c>
      <c r="F34" s="62">
        <f t="shared" si="30"/>
        <v>0</v>
      </c>
      <c r="G34" s="63">
        <f t="shared" si="30"/>
        <v>0</v>
      </c>
      <c r="H34" s="64">
        <f t="shared" si="30"/>
        <v>0</v>
      </c>
      <c r="I34" s="65">
        <f t="shared" si="30"/>
        <v>0</v>
      </c>
      <c r="J34" s="66">
        <f t="shared" si="30"/>
        <v>0</v>
      </c>
      <c r="K34" s="1"/>
      <c r="L34" s="59">
        <f t="shared" si="28"/>
        <v>0</v>
      </c>
      <c r="M34" s="60" t="str">
        <f t="shared" si="29"/>
        <v>✅</v>
      </c>
      <c r="P34" s="54"/>
    </row>
    <row r="35">
      <c r="B35" s="37"/>
      <c r="C35" s="1"/>
      <c r="D35" s="1"/>
      <c r="E35" s="2"/>
      <c r="F35" s="3"/>
      <c r="G35" s="4"/>
      <c r="H35" s="5"/>
      <c r="I35" s="67"/>
      <c r="J35" s="68"/>
      <c r="K35" s="1"/>
      <c r="L35" s="1"/>
      <c r="M35" s="1"/>
      <c r="P35" s="54"/>
    </row>
    <row r="36">
      <c r="B36" s="69" t="str">
        <f>IF($D$1=$K37,"Big Bro "&amp;$K37&amp;" owes Nobody",$D$1&amp;" owes "&amp;$K37&amp;" $"&amp;TEXT(E34, "0.00"))</f>
        <v>Big Bro  owes Nobody</v>
      </c>
      <c r="C36" s="1"/>
      <c r="D36" s="1"/>
      <c r="E36" s="2"/>
      <c r="F36" s="3"/>
      <c r="G36" s="4"/>
      <c r="H36" s="5"/>
      <c r="I36" s="67"/>
      <c r="J36" s="68"/>
      <c r="K36" s="1"/>
      <c r="L36" s="70" t="s">
        <v>12</v>
      </c>
      <c r="M36" s="1"/>
      <c r="P36" s="54"/>
    </row>
    <row r="37">
      <c r="B37" s="71" t="str">
        <f>IF($E$1=$K37,"Big Bro "&amp;$K37&amp;" owes Nobody",$E$1&amp;" owes "&amp;$K37&amp;" $"&amp;TEXT(F34, "0.00"))</f>
        <v>Big Bro  owes Nobody</v>
      </c>
      <c r="C37" s="1"/>
      <c r="D37" s="1"/>
      <c r="E37" s="2"/>
      <c r="F37" s="3"/>
      <c r="G37" s="4"/>
      <c r="H37" s="5"/>
      <c r="I37" s="67"/>
      <c r="J37" s="68"/>
      <c r="K37" s="1"/>
      <c r="L37" s="72" t="s">
        <v>13</v>
      </c>
      <c r="M37" s="1"/>
      <c r="P37" s="54"/>
    </row>
    <row r="38">
      <c r="B38" s="71" t="str">
        <f>IF($F$1=$K37,"Big Bro "&amp;$K37&amp;" owes Nobody",$F$1&amp;" owes "&amp;$K37&amp;" $"&amp;TEXT(G34, "0.00"))</f>
        <v>Big Bro  owes Nobody</v>
      </c>
      <c r="C38" s="1"/>
      <c r="D38" s="1"/>
      <c r="E38" s="2"/>
      <c r="F38" s="3"/>
      <c r="G38" s="4"/>
      <c r="H38" s="5"/>
      <c r="I38" s="67"/>
      <c r="J38" s="68"/>
      <c r="K38" s="1"/>
      <c r="L38" s="1"/>
      <c r="M38" s="1"/>
      <c r="P38" s="54"/>
    </row>
    <row r="39">
      <c r="B39" s="71" t="str">
        <f>IF($G$1=$K37,"Big Bro "&amp;$K37&amp;" owes Nobody",$G$1&amp;" owes "&amp;$K37&amp;" $"&amp;TEXT(H34, "0.00"))</f>
        <v>Big Bro  owes Nobody</v>
      </c>
      <c r="C39" s="1"/>
      <c r="D39" s="1"/>
      <c r="E39" s="2"/>
      <c r="F39" s="3"/>
      <c r="G39" s="4"/>
      <c r="H39" s="5"/>
      <c r="I39" s="67"/>
      <c r="J39" s="68"/>
      <c r="K39" s="1"/>
      <c r="L39" s="1"/>
      <c r="M39" s="1"/>
      <c r="P39" s="54"/>
    </row>
    <row r="40">
      <c r="B40" s="71" t="str">
        <f>IF($N$318=$K37,"Big Bro "&amp;$K37&amp;" owes Nobody",$N$318&amp;" owes "&amp;$K37&amp;" $"&amp;TEXT(I34, "0.00"))</f>
        <v>Big Bro  owes Nobody</v>
      </c>
      <c r="E40" s="73"/>
      <c r="F40" s="74"/>
      <c r="G40" s="75"/>
      <c r="H40" s="76"/>
      <c r="I40" s="67"/>
      <c r="J40" s="68"/>
      <c r="P40" s="54"/>
    </row>
    <row r="41">
      <c r="B41" s="77" t="str">
        <f>IF($O$318=$K37,"Big Bro "&amp;$K37&amp;" owes Nobody",$O$318&amp;" owes "&amp;$K37&amp;" $"&amp;TEXT(J34, "0.00"))</f>
        <v>Big Bro  owes Nobody</v>
      </c>
      <c r="E41" s="73"/>
      <c r="F41" s="74"/>
      <c r="G41" s="75"/>
      <c r="H41" s="76"/>
      <c r="I41" s="51"/>
      <c r="J41" s="52"/>
      <c r="P41" s="54"/>
    </row>
    <row r="42">
      <c r="B42" s="78"/>
      <c r="C42" s="45"/>
      <c r="D42" s="45"/>
      <c r="E42" s="79"/>
      <c r="F42" s="80"/>
      <c r="G42" s="81"/>
      <c r="H42" s="82"/>
      <c r="I42" s="83"/>
      <c r="J42" s="84"/>
      <c r="K42" s="45"/>
      <c r="L42" s="45"/>
      <c r="M42" s="45"/>
      <c r="N42" s="85"/>
      <c r="O42" s="85"/>
      <c r="P42" s="46"/>
    </row>
    <row r="43">
      <c r="E43" s="73"/>
      <c r="F43" s="74"/>
      <c r="G43" s="75"/>
      <c r="H43" s="76"/>
    </row>
    <row r="57">
      <c r="B57" s="86"/>
      <c r="C57" s="86"/>
    </row>
    <row r="58">
      <c r="B58" s="86"/>
      <c r="C58" s="87"/>
    </row>
    <row r="59">
      <c r="B59" s="86"/>
    </row>
    <row r="60">
      <c r="B60" s="86"/>
    </row>
    <row r="61">
      <c r="B61" s="86"/>
      <c r="C61" s="86"/>
    </row>
    <row r="62" hidden="1">
      <c r="B62" s="86" t="s">
        <v>14</v>
      </c>
      <c r="C62" s="87"/>
    </row>
    <row r="63">
      <c r="B63" s="86"/>
      <c r="C63" s="86"/>
      <c r="J63" s="88" t="s">
        <v>15</v>
      </c>
      <c r="K63" s="89" t="s">
        <v>16</v>
      </c>
      <c r="L63" s="90"/>
      <c r="M63" s="91">
        <f t="shared" ref="M63:O63" si="31">E34</f>
        <v>0</v>
      </c>
      <c r="N63" s="92">
        <f t="shared" si="31"/>
        <v>0</v>
      </c>
      <c r="O63" s="93">
        <f t="shared" si="31"/>
        <v>0</v>
      </c>
      <c r="P63" s="94" t="str">
        <f>H35</f>
        <v/>
      </c>
      <c r="Q63" s="1"/>
      <c r="R63" s="59">
        <f t="shared" ref="R63:R65" si="32">sum(M63:P63)</f>
        <v>0</v>
      </c>
      <c r="S63" s="60"/>
    </row>
    <row r="64" hidden="1">
      <c r="B64" s="86" t="s">
        <v>17</v>
      </c>
      <c r="C64" s="87"/>
      <c r="J64" s="1"/>
      <c r="K64" s="88" t="s">
        <v>18</v>
      </c>
      <c r="L64" s="95"/>
      <c r="M64" s="96">
        <v>0.0</v>
      </c>
      <c r="N64" s="97">
        <v>0.0</v>
      </c>
      <c r="O64" s="98">
        <v>0.0</v>
      </c>
      <c r="P64" s="99">
        <v>0.0</v>
      </c>
      <c r="Q64" s="1"/>
      <c r="R64" s="59">
        <f t="shared" si="32"/>
        <v>0</v>
      </c>
      <c r="S64" s="60"/>
    </row>
    <row r="65">
      <c r="B65" s="86"/>
      <c r="C65" s="86"/>
      <c r="K65" s="100" t="s">
        <v>19</v>
      </c>
      <c r="L65" s="101"/>
      <c r="M65" s="91">
        <v>0.0</v>
      </c>
      <c r="N65" s="92">
        <v>0.0</v>
      </c>
      <c r="O65" s="93">
        <v>0.0</v>
      </c>
      <c r="P65" s="94">
        <v>0.0</v>
      </c>
      <c r="Q65" s="1"/>
      <c r="R65" s="59">
        <f t="shared" si="32"/>
        <v>0</v>
      </c>
      <c r="S65" s="60" t="str">
        <f>IF(sum(R63:R65)=C34, "✅", "❌")</f>
        <v>✅</v>
      </c>
    </row>
    <row r="66" hidden="1">
      <c r="B66" s="86" t="s">
        <v>20</v>
      </c>
      <c r="C66" s="87"/>
      <c r="J66" s="1"/>
      <c r="K66" s="1"/>
      <c r="L66" s="1"/>
      <c r="M66" s="2"/>
      <c r="N66" s="3"/>
      <c r="O66" s="4"/>
      <c r="P66" s="5"/>
      <c r="Q66" s="1"/>
      <c r="R66" s="1"/>
      <c r="S66" s="1"/>
    </row>
    <row r="67">
      <c r="B67" s="86"/>
      <c r="C67" s="86"/>
    </row>
    <row r="68" hidden="1">
      <c r="B68" s="86" t="s">
        <v>21</v>
      </c>
      <c r="C68" s="87"/>
    </row>
    <row r="69">
      <c r="B69" s="86"/>
      <c r="C69" s="86"/>
    </row>
    <row r="70" hidden="1">
      <c r="B70" s="86" t="s">
        <v>22</v>
      </c>
      <c r="C70" s="87"/>
    </row>
    <row r="71">
      <c r="B71" s="86"/>
      <c r="C71" s="86"/>
    </row>
    <row r="72" hidden="1">
      <c r="C72" s="87"/>
    </row>
    <row r="73">
      <c r="C73" s="86"/>
    </row>
    <row r="74" hidden="1">
      <c r="C74" s="87"/>
    </row>
    <row r="75">
      <c r="C75" s="86"/>
    </row>
    <row r="76" hidden="1">
      <c r="C76" s="87"/>
    </row>
    <row r="77">
      <c r="C77" s="86"/>
    </row>
    <row r="78" hidden="1">
      <c r="C78" s="87"/>
    </row>
    <row r="79">
      <c r="C79" s="86"/>
    </row>
    <row r="80" hidden="1">
      <c r="C80" s="87"/>
    </row>
    <row r="81">
      <c r="C81" s="86"/>
    </row>
    <row r="82" hidden="1">
      <c r="C82" s="87"/>
    </row>
    <row r="83">
      <c r="C83" s="86"/>
    </row>
    <row r="84" hidden="1">
      <c r="C84" s="87"/>
    </row>
    <row r="85">
      <c r="C85" s="86"/>
    </row>
    <row r="86" hidden="1">
      <c r="C86" s="87"/>
    </row>
    <row r="87">
      <c r="C87" s="86"/>
    </row>
    <row r="88" hidden="1">
      <c r="C88" s="87"/>
    </row>
    <row r="89">
      <c r="C89" s="86"/>
    </row>
  </sheetData>
  <autoFilter ref="$C$60:$C$89">
    <filterColumn colId="0">
      <filters/>
    </filterColumn>
  </autoFilter>
  <dataValidations>
    <dataValidation type="list" allowBlank="1" showInputMessage="1" showErrorMessage="1" prompt="Click and enter a value from the list of items" sqref="L37">
      <formula1>"Person 1,Person 2,Person 3,Person 4,Person 5,Person 6"</formula1>
    </dataValidation>
  </dataValidations>
  <drawing r:id="rId1"/>
  <tableParts count="1">
    <tablePart r:id="rId3"/>
  </tableParts>
</worksheet>
</file>